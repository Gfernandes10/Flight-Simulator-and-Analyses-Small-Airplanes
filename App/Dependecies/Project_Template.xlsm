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c52a6e565117741/Área de Trabalho/Flight-Simulator-and-Analyses-Small-Airplanes/App/Dependecies/"/>
    </mc:Choice>
  </mc:AlternateContent>
  <xr:revisionPtr revIDLastSave="52" documentId="8_{8FB584B8-DF54-435C-851B-738D736B35E5}" xr6:coauthVersionLast="47" xr6:coauthVersionMax="47" xr10:uidLastSave="{09423534-9A1E-49F4-BF5E-687B19E958C0}"/>
  <bookViews>
    <workbookView xWindow="-120" yWindow="-120" windowWidth="29040" windowHeight="15720" xr2:uid="{7DCEFABA-F1CC-4491-9DA7-E68B5C3F4E30}"/>
  </bookViews>
  <sheets>
    <sheet name="Home" sheetId="1" r:id="rId1"/>
    <sheet name="Geometry" sheetId="2" r:id="rId2"/>
    <sheet name="AUX_GEO" sheetId="6" r:id="rId3"/>
    <sheet name="TAB_TEMPLATE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E8" i="2"/>
  <c r="E7" i="2"/>
  <c r="D3" i="5"/>
  <c r="I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Fernandes</author>
  </authors>
  <commentList>
    <comment ref="L21" authorId="0" shapeId="0" xr:uid="{F4688F3C-6B2D-44A2-BC53-3B0E015434EE}">
      <text>
        <r>
          <rPr>
            <b/>
            <sz val="9"/>
            <color indexed="81"/>
            <rFont val="Segoe UI"/>
            <family val="2"/>
          </rPr>
          <t>Gabriel Fernandes:</t>
        </r>
        <r>
          <rPr>
            <sz val="9"/>
            <color indexed="81"/>
            <rFont val="Segoe UI"/>
            <family val="2"/>
          </rPr>
          <t xml:space="preserve">
YEAR_COMPETION_NUMBER 
E = EAST
W = WEST
N = NATIONAL</t>
        </r>
      </text>
    </comment>
  </commentList>
</comments>
</file>

<file path=xl/sharedStrings.xml><?xml version="1.0" encoding="utf-8"?>
<sst xmlns="http://schemas.openxmlformats.org/spreadsheetml/2006/main" count="97" uniqueCount="49">
  <si>
    <t>PROJECT_NAME</t>
  </si>
  <si>
    <t>AIRCRAFT_FIGURE</t>
  </si>
  <si>
    <t>Version:</t>
  </si>
  <si>
    <t>2024_E_001</t>
  </si>
  <si>
    <t>Geometry</t>
  </si>
  <si>
    <t>Component</t>
  </si>
  <si>
    <t>Variable</t>
  </si>
  <si>
    <t>Value</t>
  </si>
  <si>
    <t>Unit</t>
  </si>
  <si>
    <t>Description</t>
  </si>
  <si>
    <t>WING</t>
  </si>
  <si>
    <t>GENERAL</t>
  </si>
  <si>
    <t>WINGTYPE</t>
  </si>
  <si>
    <t>HIGH</t>
  </si>
  <si>
    <t>MID</t>
  </si>
  <si>
    <t>LOW</t>
  </si>
  <si>
    <t>BIPLANE</t>
  </si>
  <si>
    <t>CANARD</t>
  </si>
  <si>
    <t>e</t>
  </si>
  <si>
    <t>WING_TYPE</t>
  </si>
  <si>
    <t>HORIZONTAL_TAIL_TYPE</t>
  </si>
  <si>
    <t>CONVENTIONAL</t>
  </si>
  <si>
    <t>VERTICAL_TAIL_TYPE</t>
  </si>
  <si>
    <t>TRIDENT</t>
  </si>
  <si>
    <t>VTAIL</t>
  </si>
  <si>
    <t>HTAIL</t>
  </si>
  <si>
    <t>TTAIL</t>
  </si>
  <si>
    <t>WINGTYPE_DESCRIPTION</t>
  </si>
  <si>
    <t>HORIZONTAL_TAIL_TYPE_DESCRIPTION</t>
  </si>
  <si>
    <t>VERTICAL_TAIL_TYPE_DESCRIPTION</t>
  </si>
  <si>
    <t>XCG_CMA</t>
  </si>
  <si>
    <t>%</t>
  </si>
  <si>
    <t>Write something here</t>
  </si>
  <si>
    <t>ASD</t>
  </si>
  <si>
    <t>ZCG_M</t>
  </si>
  <si>
    <t>m</t>
  </si>
  <si>
    <t>IXX</t>
  </si>
  <si>
    <t>IYY</t>
  </si>
  <si>
    <t>IZZ</t>
  </si>
  <si>
    <t>IXZ</t>
  </si>
  <si>
    <t>tbd</t>
  </si>
  <si>
    <t>Em relação a asa</t>
  </si>
  <si>
    <t>CG/CMA</t>
  </si>
  <si>
    <t>ASDDD</t>
  </si>
  <si>
    <t>DDDD</t>
  </si>
  <si>
    <t>asd</t>
  </si>
  <si>
    <t>asdas</t>
  </si>
  <si>
    <t>asddsadas</t>
  </si>
  <si>
    <t>PARTITION_QUANTITY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</si>
</sst>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2"/>
      <color theme="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002060"/>
      </bottom>
      <diagonal/>
    </border>
    <border>
      <left/>
      <right/>
      <top style="thin">
        <color rgb="FF00206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dashDotDot">
        <color theme="0" tint="-0.34998626667073579"/>
      </right>
      <top style="thin">
        <color theme="1"/>
      </top>
      <bottom/>
      <diagonal/>
    </border>
    <border>
      <left/>
      <right style="dashDotDot">
        <color theme="0" tint="-0.34998626667073579"/>
      </right>
      <top/>
      <bottom/>
      <diagonal/>
    </border>
    <border>
      <left style="dashDotDot">
        <color theme="0" tint="-0.34998626667073579"/>
      </left>
      <right style="dashDotDot">
        <color theme="0" tint="-0.34998626667073579"/>
      </right>
      <top style="thin">
        <color theme="1"/>
      </top>
      <bottom/>
      <diagonal/>
    </border>
    <border>
      <left style="dashDotDot">
        <color theme="0" tint="-0.34998626667073579"/>
      </left>
      <right style="dashDotDot">
        <color theme="0" tint="-0.34998626667073579"/>
      </right>
      <top/>
      <bottom/>
      <diagonal/>
    </border>
    <border>
      <left style="dashDotDot">
        <color theme="0" tint="-0.34998626667073579"/>
      </left>
      <right style="dashDotDot">
        <color theme="0" tint="-0.34998626667073579"/>
      </right>
      <top/>
      <bottom style="dashDotDot">
        <color theme="0" tint="-0.34998626667073579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0" fontId="0" fillId="3" borderId="0" xfId="0" applyFill="1"/>
    <xf numFmtId="0" fontId="3" fillId="5" borderId="9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/>
    <xf numFmtId="0" fontId="0" fillId="6" borderId="0" xfId="0" applyFill="1" applyAlignment="1">
      <alignment horizontal="center" vertical="center"/>
    </xf>
    <xf numFmtId="0" fontId="0" fillId="6" borderId="0" xfId="0" applyFill="1"/>
    <xf numFmtId="0" fontId="8" fillId="6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5" borderId="15" xfId="0" applyFont="1" applyFill="1" applyBorder="1"/>
    <xf numFmtId="0" fontId="8" fillId="7" borderId="16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0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0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152400</xdr:colOff>
      <xdr:row>20</xdr:row>
      <xdr:rowOff>9525</xdr:rowOff>
    </xdr:from>
    <xdr:to>
      <xdr:col>16</xdr:col>
      <xdr:colOff>600075</xdr:colOff>
      <xdr:row>21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51937E8-EF20-2F0B-1625-D970D8C9952F}"/>
            </a:ext>
          </a:extLst>
        </xdr:cNvPr>
        <xdr:cNvSpPr/>
      </xdr:nvSpPr>
      <xdr:spPr>
        <a:xfrm>
          <a:off x="5819775" y="3714750"/>
          <a:ext cx="1057275" cy="238125"/>
        </a:xfrm>
        <a:prstGeom prst="roundRect">
          <a:avLst/>
        </a:prstGeom>
        <a:solidFill>
          <a:schemeClr val="tx2">
            <a:lumMod val="7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</a:t>
          </a:r>
          <a:r>
            <a:rPr lang="en-US" sz="1100" baseline="0"/>
            <a:t>log</a:t>
          </a:r>
          <a:endParaRPr lang="en-US" sz="1100"/>
        </a:p>
      </xdr:txBody>
    </xdr:sp>
    <xdr:clientData/>
  </xdr:twoCellAnchor>
  <xdr:twoCellAnchor>
    <xdr:from>
      <xdr:col>10</xdr:col>
      <xdr:colOff>342021</xdr:colOff>
      <xdr:row>25</xdr:row>
      <xdr:rowOff>21029</xdr:rowOff>
    </xdr:from>
    <xdr:to>
      <xdr:col>16</xdr:col>
      <xdr:colOff>290586</xdr:colOff>
      <xdr:row>29</xdr:row>
      <xdr:rowOff>176286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D903CCD-62E8-F399-AD4F-3B76AE835932}"/>
            </a:ext>
          </a:extLst>
        </xdr:cNvPr>
        <xdr:cNvGrpSpPr/>
      </xdr:nvGrpSpPr>
      <xdr:grpSpPr>
        <a:xfrm>
          <a:off x="2961396" y="4735904"/>
          <a:ext cx="3606165" cy="917257"/>
          <a:chOff x="1510665" y="4780598"/>
          <a:chExt cx="3606165" cy="917257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A8FDD2A-FF8B-49E0-81DC-D48AEA6CD705}"/>
              </a:ext>
            </a:extLst>
          </xdr:cNvPr>
          <xdr:cNvSpPr/>
        </xdr:nvSpPr>
        <xdr:spPr>
          <a:xfrm>
            <a:off x="1514475" y="4780598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Geometry</a:t>
            </a:r>
          </a:p>
        </xdr:txBody>
      </xdr:sp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BC767D99-F039-4EDD-9C80-6D9E70ADACB8}"/>
              </a:ext>
            </a:extLst>
          </xdr:cNvPr>
          <xdr:cNvSpPr/>
        </xdr:nvSpPr>
        <xdr:spPr>
          <a:xfrm>
            <a:off x="1510665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Aerodynamics</a:t>
            </a:r>
          </a:p>
        </xdr:txBody>
      </xdr:sp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E0FA4AEA-3E12-47C8-9905-8020C7F2D1C1}"/>
              </a:ext>
            </a:extLst>
          </xdr:cNvPr>
          <xdr:cNvSpPr/>
        </xdr:nvSpPr>
        <xdr:spPr>
          <a:xfrm>
            <a:off x="2800350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Stability</a:t>
            </a:r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F51A3EB4-A788-4D89-979D-F0D8ADE13C3B}"/>
              </a:ext>
            </a:extLst>
          </xdr:cNvPr>
          <xdr:cNvSpPr/>
        </xdr:nvSpPr>
        <xdr:spPr>
          <a:xfrm>
            <a:off x="2800350" y="4780598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Performance</a:t>
            </a:r>
          </a:p>
        </xdr:txBody>
      </xdr:sp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C191FC4-8F38-4F22-8234-C2B6165BF6D2}"/>
              </a:ext>
            </a:extLst>
          </xdr:cNvPr>
          <xdr:cNvSpPr/>
        </xdr:nvSpPr>
        <xdr:spPr>
          <a:xfrm>
            <a:off x="4059555" y="4780598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Eletrical</a:t>
            </a:r>
          </a:p>
        </xdr:txBody>
      </xdr:sp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584043A3-90CB-48AD-B1C8-A7577DC8C04B}"/>
              </a:ext>
            </a:extLst>
          </xdr:cNvPr>
          <xdr:cNvSpPr/>
        </xdr:nvSpPr>
        <xdr:spPr>
          <a:xfrm>
            <a:off x="4059555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Loads</a:t>
            </a:r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02F693B8-E754-4FB9-A9C3-14227590FA6F}"/>
              </a:ext>
            </a:extLst>
          </xdr:cNvPr>
          <xdr:cNvSpPr/>
        </xdr:nvSpPr>
        <xdr:spPr>
          <a:xfrm>
            <a:off x="2790825" y="5459730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V &amp; V</a:t>
            </a:r>
          </a:p>
        </xdr:txBody>
      </xdr:sp>
    </xdr:grpSp>
    <xdr:clientData/>
  </xdr:twoCellAnchor>
  <xdr:twoCellAnchor editAs="oneCell">
    <xdr:from>
      <xdr:col>6</xdr:col>
      <xdr:colOff>9526</xdr:colOff>
      <xdr:row>2</xdr:row>
      <xdr:rowOff>0</xdr:rowOff>
    </xdr:from>
    <xdr:to>
      <xdr:col>7</xdr:col>
      <xdr:colOff>257176</xdr:colOff>
      <xdr:row>5</xdr:row>
      <xdr:rowOff>159293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DEE593BE-B62F-6CEB-631B-81FC43A06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1" y="180975"/>
          <a:ext cx="857250" cy="8069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857250</xdr:colOff>
      <xdr:row>3</xdr:row>
      <xdr:rowOff>187868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FCABFE5-BB75-4EF7-9F31-C3131DA90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7250" cy="806993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0</xdr:row>
      <xdr:rowOff>85725</xdr:rowOff>
    </xdr:from>
    <xdr:to>
      <xdr:col>6</xdr:col>
      <xdr:colOff>3810</xdr:colOff>
      <xdr:row>3</xdr:row>
      <xdr:rowOff>85725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81080C1-5A14-4EA5-888B-9E37616167D9}"/>
            </a:ext>
          </a:extLst>
        </xdr:cNvPr>
        <xdr:cNvGrpSpPr/>
      </xdr:nvGrpSpPr>
      <xdr:grpSpPr>
        <a:xfrm>
          <a:off x="1009650" y="85725"/>
          <a:ext cx="4842510" cy="619125"/>
          <a:chOff x="1510665" y="4780598"/>
          <a:chExt cx="4842510" cy="571500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3A6F8DC-BF3C-A83B-AFA1-DF8B7AA50216}"/>
              </a:ext>
            </a:extLst>
          </xdr:cNvPr>
          <xdr:cNvSpPr/>
        </xdr:nvSpPr>
        <xdr:spPr>
          <a:xfrm>
            <a:off x="1514475" y="4780598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Home</a:t>
            </a:r>
          </a:p>
        </xdr:txBody>
      </xdr:sp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76E2A652-8B84-2F2E-CFB2-8BDC95248B2D}"/>
              </a:ext>
            </a:extLst>
          </xdr:cNvPr>
          <xdr:cNvSpPr/>
        </xdr:nvSpPr>
        <xdr:spPr>
          <a:xfrm>
            <a:off x="1510665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Aerodynamics</a:t>
            </a:r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C8272FC1-F9A9-5614-F409-9C8DF3EB083F}"/>
              </a:ext>
            </a:extLst>
          </xdr:cNvPr>
          <xdr:cNvSpPr/>
        </xdr:nvSpPr>
        <xdr:spPr>
          <a:xfrm>
            <a:off x="2800350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Stability</a:t>
            </a:r>
          </a:p>
        </xdr:txBody>
      </xdr:sp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6C2136E-7494-FCD7-6D7F-BEC2EE2E5DE4}"/>
              </a:ext>
            </a:extLst>
          </xdr:cNvPr>
          <xdr:cNvSpPr/>
        </xdr:nvSpPr>
        <xdr:spPr>
          <a:xfrm>
            <a:off x="2800350" y="4780598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Performance</a:t>
            </a:r>
          </a:p>
        </xdr:txBody>
      </xdr:sp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717C92B-47F7-D1D0-1E9F-DB62B7A7B89F}"/>
              </a:ext>
            </a:extLst>
          </xdr:cNvPr>
          <xdr:cNvSpPr/>
        </xdr:nvSpPr>
        <xdr:spPr>
          <a:xfrm>
            <a:off x="4059555" y="4780598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Eletrical</a:t>
            </a:r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DD193E8F-90B8-1274-8C0F-773C130D4DC9}"/>
              </a:ext>
            </a:extLst>
          </xdr:cNvPr>
          <xdr:cNvSpPr/>
        </xdr:nvSpPr>
        <xdr:spPr>
          <a:xfrm>
            <a:off x="4059555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Loads</a:t>
            </a:r>
          </a:p>
        </xdr:txBody>
      </xdr:sp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6808DEF-7BC0-400D-C7A8-CF94E084B5D3}"/>
              </a:ext>
            </a:extLst>
          </xdr:cNvPr>
          <xdr:cNvSpPr/>
        </xdr:nvSpPr>
        <xdr:spPr>
          <a:xfrm>
            <a:off x="5295900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V &amp; V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247650</xdr:colOff>
      <xdr:row>3</xdr:row>
      <xdr:rowOff>187868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54B1F94-7D1F-4E23-B68D-477F59486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7250" cy="806993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0</xdr:row>
      <xdr:rowOff>123825</xdr:rowOff>
    </xdr:from>
    <xdr:to>
      <xdr:col>17</xdr:col>
      <xdr:colOff>575310</xdr:colOff>
      <xdr:row>3</xdr:row>
      <xdr:rowOff>123825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AE5B681-9397-4D33-B0F6-1AA8A9B451E6}"/>
            </a:ext>
          </a:extLst>
        </xdr:cNvPr>
        <xdr:cNvGrpSpPr/>
      </xdr:nvGrpSpPr>
      <xdr:grpSpPr>
        <a:xfrm>
          <a:off x="6096000" y="123825"/>
          <a:ext cx="4842510" cy="619125"/>
          <a:chOff x="1510665" y="4780598"/>
          <a:chExt cx="4842510" cy="571500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779AA78-260C-FA48-5FC9-010288288537}"/>
              </a:ext>
            </a:extLst>
          </xdr:cNvPr>
          <xdr:cNvSpPr/>
        </xdr:nvSpPr>
        <xdr:spPr>
          <a:xfrm>
            <a:off x="1514475" y="4780598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Home</a:t>
            </a:r>
          </a:p>
        </xdr:txBody>
      </xdr:sp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59D55DA-36C3-8292-CA83-3A94F992DC95}"/>
              </a:ext>
            </a:extLst>
          </xdr:cNvPr>
          <xdr:cNvSpPr/>
        </xdr:nvSpPr>
        <xdr:spPr>
          <a:xfrm>
            <a:off x="1510665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Aerodynamics</a:t>
            </a:r>
          </a:p>
        </xdr:txBody>
      </xdr:sp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4F28D82-D992-6DA6-9705-103354ED1865}"/>
              </a:ext>
            </a:extLst>
          </xdr:cNvPr>
          <xdr:cNvSpPr/>
        </xdr:nvSpPr>
        <xdr:spPr>
          <a:xfrm>
            <a:off x="2800350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Stability</a:t>
            </a:r>
          </a:p>
        </xdr:txBody>
      </xdr:sp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F3AFE3BF-DCD8-BB27-2572-79D0CC99DEE2}"/>
              </a:ext>
            </a:extLst>
          </xdr:cNvPr>
          <xdr:cNvSpPr/>
        </xdr:nvSpPr>
        <xdr:spPr>
          <a:xfrm>
            <a:off x="2800350" y="4780598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Performance</a:t>
            </a:r>
          </a:p>
        </xdr:txBody>
      </xdr:sp>
      <xdr:sp macro="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78051743-C8FE-AF64-525A-E926ACE299E6}"/>
              </a:ext>
            </a:extLst>
          </xdr:cNvPr>
          <xdr:cNvSpPr/>
        </xdr:nvSpPr>
        <xdr:spPr>
          <a:xfrm>
            <a:off x="4059555" y="4780598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Eletrical</a:t>
            </a:r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3EF23CE2-4967-6E8C-5891-9953286C6169}"/>
              </a:ext>
            </a:extLst>
          </xdr:cNvPr>
          <xdr:cNvSpPr/>
        </xdr:nvSpPr>
        <xdr:spPr>
          <a:xfrm>
            <a:off x="4059555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Loads</a:t>
            </a:r>
          </a:p>
        </xdr:txBody>
      </xdr:sp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01C867D9-2387-CC21-38E1-410044930B4F}"/>
              </a:ext>
            </a:extLst>
          </xdr:cNvPr>
          <xdr:cNvSpPr/>
        </xdr:nvSpPr>
        <xdr:spPr>
          <a:xfrm>
            <a:off x="5295900" y="5113973"/>
            <a:ext cx="1057275" cy="238125"/>
          </a:xfrm>
          <a:prstGeom prst="round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V &amp; V</a:t>
            </a: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D7784-DE73-4824-A6BC-D260F9EF798B}">
  <sheetPr codeName="Planilha1"/>
  <dimension ref="F2:V72"/>
  <sheetViews>
    <sheetView showGridLines="0" tabSelected="1" topLeftCell="F2" zoomScaleNormal="100" workbookViewId="0">
      <selection activeCell="Q25" sqref="Q25"/>
    </sheetView>
  </sheetViews>
  <sheetFormatPr defaultColWidth="0" defaultRowHeight="15" zeroHeight="1" x14ac:dyDescent="0.25"/>
  <cols>
    <col min="1" max="5" width="9.140625" hidden="1" customWidth="1"/>
    <col min="6" max="6" width="2.7109375" customWidth="1"/>
    <col min="7" max="21" width="9.140625" customWidth="1"/>
    <col min="22" max="22" width="2.7109375" customWidth="1"/>
    <col min="23" max="16384" width="9.140625" hidden="1"/>
  </cols>
  <sheetData>
    <row r="2" spans="6:22" ht="14.25" customHeight="1" x14ac:dyDescent="0.25"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6:22" ht="15.75" thickBot="1" x14ac:dyDescent="0.3"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"/>
    </row>
    <row r="4" spans="6:22" ht="19.5" thickBot="1" x14ac:dyDescent="0.3">
      <c r="F4" s="2"/>
      <c r="G4" s="1"/>
      <c r="H4" s="1"/>
      <c r="I4" s="1"/>
      <c r="J4" s="1"/>
      <c r="K4" s="34" t="s">
        <v>0</v>
      </c>
      <c r="L4" s="35"/>
      <c r="M4" s="35"/>
      <c r="N4" s="35"/>
      <c r="O4" s="35"/>
      <c r="P4" s="35"/>
      <c r="Q4" s="36"/>
      <c r="R4" s="1"/>
      <c r="S4" s="1"/>
      <c r="T4" s="1"/>
      <c r="U4" s="1"/>
      <c r="V4" s="2"/>
    </row>
    <row r="5" spans="6:22" ht="15.75" thickBot="1" x14ac:dyDescent="0.3">
      <c r="F5" s="2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2"/>
    </row>
    <row r="6" spans="6:22" x14ac:dyDescent="0.25">
      <c r="F6" s="2"/>
      <c r="G6" s="1"/>
      <c r="H6" s="1"/>
      <c r="I6" s="1"/>
      <c r="J6" s="1"/>
      <c r="K6" s="25" t="s">
        <v>1</v>
      </c>
      <c r="L6" s="26"/>
      <c r="M6" s="26"/>
      <c r="N6" s="26"/>
      <c r="O6" s="26"/>
      <c r="P6" s="26"/>
      <c r="Q6" s="27"/>
      <c r="R6" s="1"/>
      <c r="S6" s="1"/>
      <c r="T6" s="1"/>
      <c r="U6" s="1"/>
      <c r="V6" s="2"/>
    </row>
    <row r="7" spans="6:22" x14ac:dyDescent="0.25">
      <c r="F7" s="2"/>
      <c r="G7" s="1"/>
      <c r="H7" s="1"/>
      <c r="I7" s="1"/>
      <c r="J7" s="1"/>
      <c r="K7" s="28"/>
      <c r="L7" s="29"/>
      <c r="M7" s="29"/>
      <c r="N7" s="29"/>
      <c r="O7" s="29"/>
      <c r="P7" s="29"/>
      <c r="Q7" s="30"/>
      <c r="R7" s="1"/>
      <c r="S7" s="1"/>
      <c r="T7" s="1"/>
      <c r="U7" s="1"/>
      <c r="V7" s="2"/>
    </row>
    <row r="8" spans="6:22" x14ac:dyDescent="0.25">
      <c r="F8" s="2"/>
      <c r="G8" s="1"/>
      <c r="H8" s="1"/>
      <c r="I8" s="1"/>
      <c r="J8" s="1"/>
      <c r="K8" s="28"/>
      <c r="L8" s="29"/>
      <c r="M8" s="29"/>
      <c r="N8" s="29"/>
      <c r="O8" s="29"/>
      <c r="P8" s="29"/>
      <c r="Q8" s="30"/>
      <c r="R8" s="1"/>
      <c r="S8" s="1"/>
      <c r="T8" s="1"/>
      <c r="U8" s="1"/>
      <c r="V8" s="2"/>
    </row>
    <row r="9" spans="6:22" x14ac:dyDescent="0.25">
      <c r="F9" s="2"/>
      <c r="G9" s="1"/>
      <c r="H9" s="1"/>
      <c r="I9" s="1"/>
      <c r="J9" s="1"/>
      <c r="K9" s="28"/>
      <c r="L9" s="29"/>
      <c r="M9" s="29"/>
      <c r="N9" s="29"/>
      <c r="O9" s="29"/>
      <c r="P9" s="29"/>
      <c r="Q9" s="30"/>
      <c r="R9" s="1"/>
      <c r="S9" s="1"/>
      <c r="T9" s="1"/>
      <c r="U9" s="1"/>
      <c r="V9" s="2"/>
    </row>
    <row r="10" spans="6:22" x14ac:dyDescent="0.25">
      <c r="F10" s="2"/>
      <c r="G10" s="1"/>
      <c r="H10" s="1"/>
      <c r="I10" s="1"/>
      <c r="J10" s="1"/>
      <c r="K10" s="28"/>
      <c r="L10" s="29"/>
      <c r="M10" s="29"/>
      <c r="N10" s="29"/>
      <c r="O10" s="29"/>
      <c r="P10" s="29"/>
      <c r="Q10" s="30"/>
      <c r="R10" s="1"/>
      <c r="S10" s="1"/>
      <c r="T10" s="1"/>
      <c r="U10" s="1"/>
      <c r="V10" s="2"/>
    </row>
    <row r="11" spans="6:22" x14ac:dyDescent="0.25">
      <c r="F11" s="2"/>
      <c r="G11" s="1"/>
      <c r="H11" s="1"/>
      <c r="I11" s="1"/>
      <c r="J11" s="1"/>
      <c r="K11" s="28"/>
      <c r="L11" s="29"/>
      <c r="M11" s="29"/>
      <c r="N11" s="29"/>
      <c r="O11" s="29"/>
      <c r="P11" s="29"/>
      <c r="Q11" s="30"/>
      <c r="R11" s="1"/>
      <c r="S11" s="1"/>
      <c r="T11" s="1"/>
      <c r="U11" s="1"/>
      <c r="V11" s="2"/>
    </row>
    <row r="12" spans="6:22" x14ac:dyDescent="0.25">
      <c r="F12" s="2"/>
      <c r="G12" s="1"/>
      <c r="H12" s="1"/>
      <c r="I12" s="1"/>
      <c r="J12" s="1"/>
      <c r="K12" s="28"/>
      <c r="L12" s="29"/>
      <c r="M12" s="29"/>
      <c r="N12" s="29"/>
      <c r="O12" s="29"/>
      <c r="P12" s="29"/>
      <c r="Q12" s="30"/>
      <c r="R12" s="1"/>
      <c r="S12" s="1"/>
      <c r="T12" s="1"/>
      <c r="U12" s="1"/>
      <c r="V12" s="2"/>
    </row>
    <row r="13" spans="6:22" x14ac:dyDescent="0.25">
      <c r="F13" s="2"/>
      <c r="G13" s="1"/>
      <c r="H13" s="1"/>
      <c r="I13" s="1"/>
      <c r="J13" s="1"/>
      <c r="K13" s="28"/>
      <c r="L13" s="29"/>
      <c r="M13" s="29"/>
      <c r="N13" s="29"/>
      <c r="O13" s="29"/>
      <c r="P13" s="29"/>
      <c r="Q13" s="30"/>
      <c r="R13" s="1"/>
      <c r="S13" s="1"/>
      <c r="T13" s="1"/>
      <c r="U13" s="1"/>
      <c r="V13" s="2"/>
    </row>
    <row r="14" spans="6:22" x14ac:dyDescent="0.25">
      <c r="F14" s="2"/>
      <c r="G14" s="1"/>
      <c r="H14" s="1"/>
      <c r="I14" s="1"/>
      <c r="J14" s="1"/>
      <c r="K14" s="28"/>
      <c r="L14" s="29"/>
      <c r="M14" s="29"/>
      <c r="N14" s="29"/>
      <c r="O14" s="29"/>
      <c r="P14" s="29"/>
      <c r="Q14" s="30"/>
      <c r="R14" s="1"/>
      <c r="S14" s="1"/>
      <c r="T14" s="1"/>
      <c r="U14" s="1"/>
      <c r="V14" s="2"/>
    </row>
    <row r="15" spans="6:22" x14ac:dyDescent="0.25">
      <c r="F15" s="2"/>
      <c r="G15" s="1"/>
      <c r="H15" s="1"/>
      <c r="I15" s="1"/>
      <c r="J15" s="1"/>
      <c r="K15" s="28"/>
      <c r="L15" s="29"/>
      <c r="M15" s="29"/>
      <c r="N15" s="29"/>
      <c r="O15" s="29"/>
      <c r="P15" s="29"/>
      <c r="Q15" s="30"/>
      <c r="R15" s="1"/>
      <c r="S15" s="1"/>
      <c r="T15" s="1"/>
      <c r="U15" s="1"/>
      <c r="V15" s="2"/>
    </row>
    <row r="16" spans="6:22" x14ac:dyDescent="0.25">
      <c r="F16" s="2"/>
      <c r="G16" s="1"/>
      <c r="H16" s="1"/>
      <c r="I16" s="1"/>
      <c r="J16" s="1"/>
      <c r="K16" s="28"/>
      <c r="L16" s="29"/>
      <c r="M16" s="29"/>
      <c r="N16" s="29"/>
      <c r="O16" s="29"/>
      <c r="P16" s="29"/>
      <c r="Q16" s="30"/>
      <c r="R16" s="1"/>
      <c r="S16" s="1"/>
      <c r="T16" s="1"/>
      <c r="U16" s="1"/>
      <c r="V16" s="2"/>
    </row>
    <row r="17" spans="6:22" x14ac:dyDescent="0.25">
      <c r="F17" s="2"/>
      <c r="G17" s="1"/>
      <c r="H17" s="1"/>
      <c r="I17" s="1"/>
      <c r="J17" s="1"/>
      <c r="K17" s="28"/>
      <c r="L17" s="29"/>
      <c r="M17" s="29"/>
      <c r="N17" s="29"/>
      <c r="O17" s="29"/>
      <c r="P17" s="29"/>
      <c r="Q17" s="30"/>
      <c r="R17" s="1"/>
      <c r="S17" s="1"/>
      <c r="T17" s="1"/>
      <c r="U17" s="1"/>
      <c r="V17" s="2"/>
    </row>
    <row r="18" spans="6:22" x14ac:dyDescent="0.25">
      <c r="F18" s="2"/>
      <c r="G18" s="1"/>
      <c r="H18" s="1"/>
      <c r="I18" s="1"/>
      <c r="J18" s="1"/>
      <c r="K18" s="28"/>
      <c r="L18" s="29"/>
      <c r="M18" s="29"/>
      <c r="N18" s="29"/>
      <c r="O18" s="29"/>
      <c r="P18" s="29"/>
      <c r="Q18" s="30"/>
      <c r="R18" s="1"/>
      <c r="S18" s="1"/>
      <c r="T18" s="1"/>
      <c r="U18" s="1"/>
      <c r="V18" s="2"/>
    </row>
    <row r="19" spans="6:22" ht="15.75" thickBot="1" x14ac:dyDescent="0.3">
      <c r="F19" s="2"/>
      <c r="G19" s="1"/>
      <c r="H19" s="1"/>
      <c r="I19" s="1"/>
      <c r="J19" s="1"/>
      <c r="K19" s="31"/>
      <c r="L19" s="32"/>
      <c r="M19" s="32"/>
      <c r="N19" s="32"/>
      <c r="O19" s="32"/>
      <c r="P19" s="32"/>
      <c r="Q19" s="33"/>
      <c r="R19" s="1"/>
      <c r="S19" s="1"/>
      <c r="T19" s="1"/>
      <c r="U19" s="1"/>
      <c r="V19" s="2"/>
    </row>
    <row r="20" spans="6:22" ht="15.75" thickBot="1" x14ac:dyDescent="0.3">
      <c r="F20" s="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"/>
    </row>
    <row r="21" spans="6:22" ht="19.5" thickBot="1" x14ac:dyDescent="0.3">
      <c r="F21" s="2"/>
      <c r="G21" s="1"/>
      <c r="H21" s="1"/>
      <c r="I21" s="1"/>
      <c r="J21" s="1"/>
      <c r="K21" s="3" t="s">
        <v>2</v>
      </c>
      <c r="L21" s="35" t="s">
        <v>3</v>
      </c>
      <c r="M21" s="35"/>
      <c r="N21" s="36"/>
      <c r="O21" s="1"/>
      <c r="P21" s="1"/>
      <c r="Q21" s="1"/>
      <c r="R21" s="1"/>
      <c r="S21" s="1"/>
      <c r="T21" s="1"/>
      <c r="U21" s="1"/>
      <c r="V21" s="2"/>
    </row>
    <row r="22" spans="6:22" x14ac:dyDescent="0.25">
      <c r="F22" s="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"/>
    </row>
    <row r="23" spans="6:22" x14ac:dyDescent="0.25">
      <c r="F23" s="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"/>
    </row>
    <row r="24" spans="6:22" x14ac:dyDescent="0.25">
      <c r="F24" s="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"/>
    </row>
    <row r="25" spans="6:22" x14ac:dyDescent="0.25">
      <c r="F25" s="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"/>
    </row>
    <row r="26" spans="6:22" x14ac:dyDescent="0.25">
      <c r="F26" s="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"/>
    </row>
    <row r="27" spans="6:22" x14ac:dyDescent="0.25">
      <c r="F27" s="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"/>
    </row>
    <row r="28" spans="6:22" x14ac:dyDescent="0.25">
      <c r="F28" s="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"/>
    </row>
    <row r="29" spans="6:22" x14ac:dyDescent="0.25">
      <c r="F29" s="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"/>
    </row>
    <row r="30" spans="6:22" x14ac:dyDescent="0.25">
      <c r="F30" s="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"/>
    </row>
    <row r="31" spans="6:22" x14ac:dyDescent="0.25">
      <c r="F31" s="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"/>
    </row>
    <row r="32" spans="6:22" x14ac:dyDescent="0.25">
      <c r="F32" s="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"/>
    </row>
    <row r="33" spans="6:22" x14ac:dyDescent="0.25">
      <c r="F33" s="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"/>
    </row>
    <row r="34" spans="6:22" x14ac:dyDescent="0.25">
      <c r="F34" s="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"/>
    </row>
    <row r="35" spans="6:22" x14ac:dyDescent="0.25">
      <c r="F35" s="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"/>
    </row>
    <row r="36" spans="6:22" ht="14.25" customHeight="1" x14ac:dyDescent="0.25"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  <row r="63" customFormat="1" hidden="1" x14ac:dyDescent="0.25"/>
    <row r="64" customFormat="1" hidden="1" x14ac:dyDescent="0.25"/>
    <row r="65" customFormat="1" hidden="1" x14ac:dyDescent="0.25"/>
    <row r="66" customFormat="1" hidden="1" x14ac:dyDescent="0.25"/>
    <row r="67" customFormat="1" hidden="1" x14ac:dyDescent="0.25"/>
    <row r="68" customFormat="1" hidden="1" x14ac:dyDescent="0.25"/>
    <row r="69" customFormat="1" hidden="1" x14ac:dyDescent="0.25"/>
    <row r="70" customFormat="1" hidden="1" x14ac:dyDescent="0.25"/>
    <row r="71" customFormat="1" hidden="1" x14ac:dyDescent="0.25"/>
    <row r="72" customFormat="1" hidden="1" x14ac:dyDescent="0.25"/>
  </sheetData>
  <mergeCells count="3">
    <mergeCell ref="K6:Q19"/>
    <mergeCell ref="K4:Q4"/>
    <mergeCell ref="L21:N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446A-CC53-4ED9-93CF-18EEF0CB736C}">
  <sheetPr codeName="Planilha2"/>
  <dimension ref="A1:AB22"/>
  <sheetViews>
    <sheetView showGridLines="0" zoomScaleNormal="100" workbookViewId="0">
      <selection activeCell="I26" sqref="I26"/>
    </sheetView>
  </sheetViews>
  <sheetFormatPr defaultRowHeight="15" x14ac:dyDescent="0.25"/>
  <cols>
    <col min="1" max="1" width="14.28515625" style="6" bestFit="1" customWidth="1"/>
    <col min="2" max="2" width="22.7109375" style="6" bestFit="1" customWidth="1"/>
    <col min="3" max="3" width="15.42578125" style="6" bestFit="1" customWidth="1"/>
    <col min="4" max="4" width="5.85546875" style="6" bestFit="1" customWidth="1"/>
    <col min="5" max="5" width="20.28515625" style="6" bestFit="1" customWidth="1"/>
    <col min="6" max="28" width="9.140625" style="6"/>
  </cols>
  <sheetData>
    <row r="1" spans="1:28" s="1" customForma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 spans="1:28" s="1" customFormat="1" ht="18.75" x14ac:dyDescent="0.25">
      <c r="A2" s="4"/>
      <c r="B2" s="4"/>
      <c r="C2" s="4"/>
      <c r="H2" s="4"/>
      <c r="I2" s="37" t="s">
        <v>4</v>
      </c>
      <c r="J2" s="37"/>
      <c r="K2" s="37"/>
      <c r="L2" s="37"/>
      <c r="M2" s="4"/>
      <c r="N2" s="4"/>
      <c r="O2" s="4"/>
      <c r="P2" s="4"/>
      <c r="Q2" s="4"/>
      <c r="R2" s="4"/>
      <c r="W2" s="4"/>
      <c r="X2" s="4"/>
      <c r="Y2" s="4"/>
      <c r="Z2" s="4"/>
      <c r="AA2" s="4"/>
      <c r="AB2" s="4"/>
    </row>
    <row r="3" spans="1:28" s="1" customFormat="1" x14ac:dyDescent="0.25">
      <c r="A3" s="4"/>
      <c r="B3" s="4"/>
      <c r="C3" s="4"/>
      <c r="H3" s="4"/>
      <c r="I3" s="38" t="str">
        <f>Home!K4</f>
        <v>PROJECT_NAME</v>
      </c>
      <c r="J3" s="38"/>
      <c r="K3" s="38"/>
      <c r="L3" s="38"/>
      <c r="M3" s="4"/>
      <c r="N3" s="4"/>
      <c r="O3" s="4"/>
      <c r="P3" s="4"/>
      <c r="Q3" s="4"/>
      <c r="R3" s="4"/>
      <c r="W3" s="4"/>
      <c r="X3" s="4"/>
      <c r="Y3" s="4"/>
      <c r="Z3" s="4"/>
      <c r="AA3" s="4"/>
      <c r="AB3" s="4"/>
    </row>
    <row r="4" spans="1:28" s="1" customForma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8" s="2" customFormat="1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</row>
    <row r="6" spans="1:28" s="16" customFormat="1" ht="18.75" x14ac:dyDescent="0.25">
      <c r="A6" s="13" t="s">
        <v>5</v>
      </c>
      <c r="B6" s="14" t="s">
        <v>6</v>
      </c>
      <c r="C6" s="14" t="s">
        <v>7</v>
      </c>
      <c r="D6" s="14" t="s">
        <v>8</v>
      </c>
      <c r="E6" s="14" t="s">
        <v>9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</row>
    <row r="7" spans="1:28" s="9" customFormat="1" x14ac:dyDescent="0.25">
      <c r="A7" s="11" t="s">
        <v>11</v>
      </c>
      <c r="B7" s="17" t="s">
        <v>19</v>
      </c>
      <c r="C7" s="19" t="s">
        <v>13</v>
      </c>
      <c r="D7" s="12" t="s">
        <v>18</v>
      </c>
      <c r="E7" s="10" t="str">
        <f>VLOOKUP(C7,AUX_GEO!$A$1:$B$6,2,0)</f>
        <v>Write something here</v>
      </c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</row>
    <row r="8" spans="1:28" s="9" customFormat="1" x14ac:dyDescent="0.25">
      <c r="A8" s="11" t="s">
        <v>11</v>
      </c>
      <c r="B8" s="18" t="s">
        <v>20</v>
      </c>
      <c r="C8" s="20" t="s">
        <v>21</v>
      </c>
      <c r="D8" s="12" t="s">
        <v>18</v>
      </c>
      <c r="E8" s="10" t="str">
        <f>VLOOKUP(C8,AUX_GEO!$C$2:$D$3,2,0)</f>
        <v>Write something here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</row>
    <row r="9" spans="1:28" s="9" customFormat="1" x14ac:dyDescent="0.25">
      <c r="A9" s="11" t="s">
        <v>11</v>
      </c>
      <c r="B9" s="18" t="s">
        <v>22</v>
      </c>
      <c r="C9" s="20" t="s">
        <v>21</v>
      </c>
      <c r="D9" s="12" t="s">
        <v>18</v>
      </c>
      <c r="E9" s="10" t="str">
        <f>VLOOKUP(C9,AUX_GEO!$E$2:$F$6,2,0)</f>
        <v>Write something here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1:28" s="9" customFormat="1" x14ac:dyDescent="0.25">
      <c r="A10" s="11" t="s">
        <v>11</v>
      </c>
      <c r="B10" s="18" t="s">
        <v>30</v>
      </c>
      <c r="C10" s="20"/>
      <c r="D10" s="12" t="s">
        <v>31</v>
      </c>
      <c r="E10" s="10" t="s">
        <v>42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spans="1:28" s="9" customFormat="1" x14ac:dyDescent="0.25">
      <c r="A11" s="11" t="s">
        <v>11</v>
      </c>
      <c r="B11" s="18" t="s">
        <v>34</v>
      </c>
      <c r="C11" s="20"/>
      <c r="D11" s="12" t="s">
        <v>35</v>
      </c>
      <c r="E11" s="10" t="s">
        <v>41</v>
      </c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spans="1:28" s="9" customFormat="1" x14ac:dyDescent="0.25">
      <c r="A12" s="11" t="s">
        <v>11</v>
      </c>
      <c r="B12" s="18" t="s">
        <v>36</v>
      </c>
      <c r="C12" s="20"/>
      <c r="D12" s="12" t="s">
        <v>40</v>
      </c>
      <c r="E12" s="10" t="s">
        <v>32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spans="1:28" s="9" customFormat="1" x14ac:dyDescent="0.25">
      <c r="A13" s="11" t="s">
        <v>11</v>
      </c>
      <c r="B13" s="18" t="s">
        <v>37</v>
      </c>
      <c r="C13" s="20"/>
      <c r="D13" s="12" t="s">
        <v>40</v>
      </c>
      <c r="E13" s="10" t="s">
        <v>32</v>
      </c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spans="1:28" s="9" customFormat="1" x14ac:dyDescent="0.25">
      <c r="A14" s="11" t="s">
        <v>11</v>
      </c>
      <c r="B14" s="18" t="s">
        <v>38</v>
      </c>
      <c r="C14" s="20"/>
      <c r="D14" s="12" t="s">
        <v>40</v>
      </c>
      <c r="E14" s="10" t="s">
        <v>32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</row>
    <row r="15" spans="1:28" s="9" customFormat="1" x14ac:dyDescent="0.25">
      <c r="A15" s="11" t="s">
        <v>11</v>
      </c>
      <c r="B15" s="18" t="s">
        <v>39</v>
      </c>
      <c r="C15" s="21"/>
      <c r="D15" s="12" t="s">
        <v>40</v>
      </c>
      <c r="E15" s="10" t="s">
        <v>32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</row>
    <row r="16" spans="1:28" s="23" customFormat="1" x14ac:dyDescent="0.25">
      <c r="A16" s="22" t="s">
        <v>10</v>
      </c>
      <c r="B16" s="22" t="s">
        <v>48</v>
      </c>
      <c r="C16" s="22" t="s">
        <v>33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</row>
    <row r="17" spans="1:28" s="23" customFormat="1" x14ac:dyDescent="0.25">
      <c r="A17" s="22" t="s">
        <v>10</v>
      </c>
      <c r="B17" s="22" t="s">
        <v>47</v>
      </c>
      <c r="C17" s="22" t="s">
        <v>33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</row>
    <row r="18" spans="1:28" s="23" customFormat="1" x14ac:dyDescent="0.25">
      <c r="A18" s="22" t="s">
        <v>10</v>
      </c>
      <c r="B18" s="22" t="s">
        <v>46</v>
      </c>
      <c r="C18" s="22" t="s">
        <v>43</v>
      </c>
      <c r="D18" s="22"/>
      <c r="E18" s="22"/>
      <c r="F18" s="22"/>
      <c r="G18" s="24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</row>
    <row r="19" spans="1:28" s="23" customFormat="1" x14ac:dyDescent="0.25">
      <c r="A19" s="22" t="s">
        <v>10</v>
      </c>
      <c r="B19" s="22" t="s">
        <v>45</v>
      </c>
      <c r="C19" s="22" t="s">
        <v>44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</row>
    <row r="20" spans="1:28" s="23" customFormat="1" x14ac:dyDescent="0.25">
      <c r="A20" s="22" t="s">
        <v>10</v>
      </c>
      <c r="B20" s="22" t="s">
        <v>45</v>
      </c>
      <c r="C20" s="22" t="s">
        <v>33</v>
      </c>
      <c r="D20" s="22" t="s">
        <v>33</v>
      </c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</row>
    <row r="21" spans="1:28" s="23" customFormat="1" x14ac:dyDescent="0.25">
      <c r="A21" s="22" t="s">
        <v>10</v>
      </c>
      <c r="B21" s="22"/>
      <c r="C21" s="22" t="s">
        <v>33</v>
      </c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</row>
    <row r="22" spans="1:28" s="23" customFormat="1" x14ac:dyDescent="0.25">
      <c r="A22" s="22" t="s">
        <v>10</v>
      </c>
      <c r="B22" s="22"/>
      <c r="C22" s="22" t="s">
        <v>33</v>
      </c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</row>
  </sheetData>
  <protectedRanges>
    <protectedRange sqref="C7:C18" name="GENERAL_VALUE"/>
  </protectedRanges>
  <mergeCells count="2">
    <mergeCell ref="I2:L2"/>
    <mergeCell ref="I3:L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26A863-AB81-4B68-81EC-4AE57C8083D1}">
          <x14:formula1>
            <xm:f>AUX_GEO!$A$2:$A$6</xm:f>
          </x14:formula1>
          <xm:sqref>C7</xm:sqref>
        </x14:dataValidation>
        <x14:dataValidation type="list" allowBlank="1" showInputMessage="1" showErrorMessage="1" xr:uid="{D0048386-2E29-44CE-BCFF-96748EB040AB}">
          <x14:formula1>
            <xm:f>AUX_GEO!$C$2:$C$3</xm:f>
          </x14:formula1>
          <xm:sqref>C8</xm:sqref>
        </x14:dataValidation>
        <x14:dataValidation type="list" allowBlank="1" showInputMessage="1" showErrorMessage="1" xr:uid="{B4AE8F41-3FDF-4396-B205-AD732EAFCF5F}">
          <x14:formula1>
            <xm:f>AUX_GEO!$E$2:$E$6</xm:f>
          </x14:formula1>
          <xm:sqref>C9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31E99-FE02-4796-B6FA-27DE82D4A846}">
  <sheetPr codeName="Planilha3"/>
  <dimension ref="A1:F16"/>
  <sheetViews>
    <sheetView workbookViewId="0">
      <selection activeCell="F16" activeCellId="1" sqref="F2:F6 F16"/>
    </sheetView>
  </sheetViews>
  <sheetFormatPr defaultRowHeight="15" x14ac:dyDescent="0.25"/>
  <cols>
    <col min="1" max="1" width="10.28515625" bestFit="1" customWidth="1"/>
    <col min="2" max="2" width="23.42578125" bestFit="1" customWidth="1"/>
    <col min="3" max="3" width="22.7109375" bestFit="1" customWidth="1"/>
    <col min="4" max="4" width="35.85546875" bestFit="1" customWidth="1"/>
    <col min="5" max="5" width="19.42578125" bestFit="1" customWidth="1"/>
    <col min="6" max="6" width="32.5703125" bestFit="1" customWidth="1"/>
  </cols>
  <sheetData>
    <row r="1" spans="1:6" x14ac:dyDescent="0.25">
      <c r="A1" t="s">
        <v>12</v>
      </c>
      <c r="B1" t="s">
        <v>27</v>
      </c>
      <c r="C1" t="s">
        <v>20</v>
      </c>
      <c r="D1" t="s">
        <v>28</v>
      </c>
      <c r="E1" s="6" t="s">
        <v>22</v>
      </c>
      <c r="F1" t="s">
        <v>29</v>
      </c>
    </row>
    <row r="2" spans="1:6" x14ac:dyDescent="0.25">
      <c r="A2" t="s">
        <v>13</v>
      </c>
      <c r="B2" t="s">
        <v>32</v>
      </c>
      <c r="C2" t="s">
        <v>21</v>
      </c>
      <c r="D2" t="s">
        <v>32</v>
      </c>
      <c r="E2" t="s">
        <v>21</v>
      </c>
      <c r="F2" s="7" t="s">
        <v>32</v>
      </c>
    </row>
    <row r="3" spans="1:6" x14ac:dyDescent="0.25">
      <c r="A3" t="s">
        <v>14</v>
      </c>
      <c r="B3" t="s">
        <v>32</v>
      </c>
      <c r="C3" t="s">
        <v>24</v>
      </c>
      <c r="D3" t="s">
        <v>32</v>
      </c>
      <c r="E3" t="s">
        <v>25</v>
      </c>
      <c r="F3" s="7" t="s">
        <v>32</v>
      </c>
    </row>
    <row r="4" spans="1:6" x14ac:dyDescent="0.25">
      <c r="A4" t="s">
        <v>15</v>
      </c>
      <c r="B4" t="s">
        <v>32</v>
      </c>
      <c r="E4" t="s">
        <v>23</v>
      </c>
      <c r="F4" s="7" t="s">
        <v>32</v>
      </c>
    </row>
    <row r="5" spans="1:6" x14ac:dyDescent="0.25">
      <c r="A5" t="s">
        <v>16</v>
      </c>
      <c r="B5" t="s">
        <v>32</v>
      </c>
      <c r="E5" t="s">
        <v>26</v>
      </c>
      <c r="F5" s="7" t="s">
        <v>32</v>
      </c>
    </row>
    <row r="6" spans="1:6" x14ac:dyDescent="0.25">
      <c r="A6" t="s">
        <v>17</v>
      </c>
      <c r="B6" t="s">
        <v>32</v>
      </c>
      <c r="E6" t="s">
        <v>24</v>
      </c>
      <c r="F6" s="7" t="s">
        <v>32</v>
      </c>
    </row>
    <row r="11" spans="1:6" x14ac:dyDescent="0.25">
      <c r="E11" s="7"/>
    </row>
    <row r="16" spans="1:6" x14ac:dyDescent="0.25">
      <c r="F16" s="7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55D72-6E57-4ACC-823A-94FD6AE0D5E4}">
  <sheetPr codeName="Planilha4"/>
  <dimension ref="D1:G5"/>
  <sheetViews>
    <sheetView showGridLines="0" zoomScaleNormal="100" workbookViewId="0">
      <selection activeCell="H26" sqref="H26"/>
    </sheetView>
  </sheetViews>
  <sheetFormatPr defaultRowHeight="15" x14ac:dyDescent="0.25"/>
  <sheetData>
    <row r="1" spans="4:7" s="1" customFormat="1" x14ac:dyDescent="0.25"/>
    <row r="2" spans="4:7" s="1" customFormat="1" ht="18.75" x14ac:dyDescent="0.25">
      <c r="D2" s="37" t="s">
        <v>4</v>
      </c>
      <c r="E2" s="37"/>
      <c r="F2" s="37"/>
      <c r="G2" s="37"/>
    </row>
    <row r="3" spans="4:7" s="1" customFormat="1" x14ac:dyDescent="0.25">
      <c r="D3" s="39" t="str">
        <f>Home!K4</f>
        <v>PROJECT_NAME</v>
      </c>
      <c r="E3" s="39"/>
      <c r="F3" s="39"/>
      <c r="G3" s="39"/>
    </row>
    <row r="4" spans="4:7" s="1" customFormat="1" x14ac:dyDescent="0.25"/>
    <row r="5" spans="4:7" s="2" customFormat="1" x14ac:dyDescent="0.25"/>
  </sheetData>
  <mergeCells count="2">
    <mergeCell ref="D2:G2"/>
    <mergeCell ref="D3:G3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Home</vt:lpstr>
      <vt:lpstr>Geometry</vt:lpstr>
      <vt:lpstr>AUX_GEO</vt:lpstr>
      <vt:lpstr>TAB_TEMPLATE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Fernandes</dc:creator>
  <cp:lastModifiedBy>Gabriel Fernandes</cp:lastModifiedBy>
  <dcterms:created xsi:type="dcterms:W3CDTF">2023-11-26T00:58:37Z</dcterms:created>
  <dcterms:modified xsi:type="dcterms:W3CDTF">2023-11-26T05:02:15Z</dcterms:modified>
</cp:coreProperties>
</file>